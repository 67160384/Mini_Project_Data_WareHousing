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801ebfc1b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aecc5f2459734b0f"/>
    <x:sheet xmlns:r="http://schemas.openxmlformats.org/officeDocument/2006/relationships" name="FX" sheetId="2" r:id="R23c31506fb4c4dda"/>
    <x:sheet xmlns:r="http://schemas.openxmlformats.org/officeDocument/2006/relationships" name="Market_Data" sheetId="3" r:id="R79dc9b37674c4cdc"/>
    <x:sheet xmlns:r="http://schemas.openxmlformats.org/officeDocument/2006/relationships" name="Pricing_Raw" sheetId="4" r:id="R5720241b1f164a91"/>
    <x:sheet xmlns:r="http://schemas.openxmlformats.org/officeDocument/2006/relationships" name="Project_Experiments" sheetId="5" r:id="R1f50d2067a014611"/>
    <x:sheet xmlns:r="http://schemas.openxmlformats.org/officeDocument/2006/relationships" name="Dataset_Snapshot" sheetId="6" r:id="Re425a72e96654e27"/>
    <x:sheet xmlns:r="http://schemas.openxmlformats.org/officeDocument/2006/relationships" name="README" sheetId="7" r:id="R25d023bc521b4471"/>
    <x:sheet xmlns:r="http://schemas.openxmlformats.org/officeDocument/2006/relationships" name="Dashboard_Data" sheetId="8" r:id="Re4e980ca2c6f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.00"/>
    <x:numFmt numFmtId="202" formatCode="0.00"/>
    <x:numFmt numFmtId="203" formatCode="0.000"/>
    <x:numFmt numFmtId="204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f822808df45be" /><Relationship Type="http://schemas.openxmlformats.org/officeDocument/2006/relationships/theme" Target="/xl/theme/theme1.xml" Id="Rdfc2599416f74c13" /><Relationship Type="http://schemas.openxmlformats.org/officeDocument/2006/relationships/sharedStrings" Target="/xl/sharedStrings.xml" Id="R7bff39ae8d3b4b55" /><Relationship Type="http://schemas.openxmlformats.org/officeDocument/2006/relationships/worksheet" Target="/xl/worksheets/sheet1.xml" Id="Raecc5f2459734b0f" /><Relationship Type="http://schemas.openxmlformats.org/officeDocument/2006/relationships/worksheet" Target="/xl/worksheets/sheet2.xml" Id="R23c31506fb4c4dda" /><Relationship Type="http://schemas.openxmlformats.org/officeDocument/2006/relationships/worksheet" Target="/xl/worksheets/sheet3.xml" Id="R79dc9b37674c4cdc" /><Relationship Type="http://schemas.openxmlformats.org/officeDocument/2006/relationships/worksheet" Target="/xl/worksheets/sheet4.xml" Id="R5720241b1f164a91" /><Relationship Type="http://schemas.openxmlformats.org/officeDocument/2006/relationships/worksheet" Target="/xl/worksheets/sheet5.xml" Id="R1f50d2067a014611" /><Relationship Type="http://schemas.openxmlformats.org/officeDocument/2006/relationships/worksheet" Target="/xl/worksheets/sheet6.xml" Id="Re425a72e96654e27" /><Relationship Type="http://schemas.openxmlformats.org/officeDocument/2006/relationships/worksheet" Target="/xl/worksheets/sheet7.xml" Id="R25d023bc521b4471" /><Relationship Type="http://schemas.openxmlformats.org/officeDocument/2006/relationships/worksheet" Target="/xl/worksheets/sheet8.xml" Id="Re4e980ca2c6f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70" hidden="0" customWidth="1"/>
    <x:col min="6" max="6" width="14" hidden="0" customWidth="1"/>
  </x:cols>
  <x:sheetData>
    <x:row r="1">
      <x:c r="A1" s="8" t="str">
        <x:v>Source_ID</x:v>
      </x:c>
      <x:c r="B1" s="8" t="str">
        <x:v>Source / Publisher</x:v>
      </x:c>
      <x:c r="C1" s="8" t="str">
        <x:v>Title / Dataset</x:v>
      </x:c>
      <x:c r="D1" s="8" t="str">
        <x:v>Source_Type</x:v>
      </x:c>
      <x:c r="E1" s="8" t="str">
        <x:v>URL</x:v>
      </x:c>
      <x:c r="F1" s="8" t="str">
        <x:v>Accessed</x:v>
      </x:c>
    </x:row>
    <x:row r="2">
      <x:c r="A2" s="9" t="str">
        <x:v>S01</x:v>
      </x:c>
      <x:c r="B2" s="9" t="str">
        <x:v>Grand View Research</x:v>
      </x:c>
      <x:c r="C2" s="9" t="str">
        <x:v>Thailand Industrial Fasteners Market Outlook</x:v>
      </x:c>
      <x:c r="D2" s="9" t="str">
        <x:v>External market data</x:v>
      </x:c>
      <x:c r="E2" s="9" t="str">
        <x:v>https://www.grandviewresearch.com/horizon/outlook/industrial-fasteners-market/thailand</x:v>
      </x:c>
      <x:c r="F2" s="9" t="str">
        <x:v>2026-10-05</x:v>
      </x:c>
    </x:row>
    <x:row r="3">
      <x:c r="A3" s="9" t="str">
        <x:v>S02</x:v>
      </x:c>
      <x:c r="B3" s="9" t="str">
        <x:v>Bank of Thailand</x:v>
      </x:c>
      <x:c r="C3" s="9" t="str">
        <x:v>Rates of Exchange of Commercial Banks in Bangkok Metropolis</x:v>
      </x:c>
      <x:c r="D3" s="9" t="str">
        <x:v>Official FX data</x:v>
      </x:c>
      <x:c r="E3" s="9" t="str">
        <x:v>https://app.bot.or.th/BTWS_STAT/statistics/ReportPage.aspx?language=eng&amp;reportID=123</x:v>
      </x:c>
      <x:c r="F3" s="9" t="str">
        <x:v>2026-10-05</x:v>
      </x:c>
    </x:row>
    <x:row r="4">
      <x:c r="A4" s="9" t="str">
        <x:v>S03</x:v>
      </x:c>
      <x:c r="B4" s="9" t="str">
        <x:v>Overview.ai</x:v>
      </x:c>
      <x:c r="C4" s="9" t="str">
        <x:v>OV10i AI Vision Sensor</x:v>
      </x:c>
      <x:c r="D4" s="9" t="str">
        <x:v>Current product price</x:v>
      </x:c>
      <x:c r="E4" s="9" t="str">
        <x:v>https://www.overview.ai/de/shop/</x:v>
      </x:c>
      <x:c r="F4" s="9" t="str">
        <x:v>2026-10-05</x:v>
      </x:c>
    </x:row>
    <x:row r="5">
      <x:c r="A5" s="9" t="str">
        <x:v>S04</x:v>
      </x:c>
      <x:c r="B5" s="9" t="str">
        <x:v>Made-in-China / CKW Vision</x:v>
      </x:c>
      <x:c r="C5" s="9" t="str">
        <x:v>Fastener AOI / Optical Sorting Machine</x:v>
      </x:c>
      <x:c r="D5" s="9" t="str">
        <x:v>Current market listing</x:v>
      </x:c>
      <x:c r="E5" s="9" t="str">
        <x:v>https://www.made-in-china.com/video-channel/ckwvision_eRJrfqXYYHWv_Optical-Sorting-Machine-with.html</x:v>
      </x:c>
      <x:c r="F5" s="9" t="str">
        <x:v>2026-10-05</x:v>
      </x:c>
    </x:row>
    <x:row r="6">
      <x:c r="A6" s="9" t="str">
        <x:v>S05</x:v>
      </x:c>
      <x:c r="B6" s="9" t="str">
        <x:v>RealWear</x:v>
      </x:c>
      <x:c r="C6" s="9" t="str">
        <x:v>Navigator 500 Validation Kit</x:v>
      </x:c>
      <x:c r="D6" s="9" t="str">
        <x:v>Current product price</x:v>
      </x:c>
      <x:c r="E6" s="9" t="str">
        <x:v>https://shop.realwear.com/products/realwear-navigator-500-navigator-on-the-go-bundle-validation-kit</x:v>
      </x:c>
      <x:c r="F6" s="9" t="str">
        <x:v>2026-10-05</x:v>
      </x:c>
    </x:row>
    <x:row r="7">
      <x:c r="A7" s="9" t="str">
        <x:v>S06</x:v>
      </x:c>
      <x:c r="B7" s="9" t="str">
        <x:v>Jobsdb Thailand</x:v>
      </x:c>
      <x:c r="C7" s="9" t="str">
        <x:v>Quality Control jobs in Thailand</x:v>
      </x:c>
      <x:c r="D7" s="9" t="str">
        <x:v>Current job-posting salary samples</x:v>
      </x:c>
      <x:c r="E7" s="9" t="str">
        <x:v>https://th.jobsdb.com/quality-control-jobs/in-Thailand</x:v>
      </x:c>
      <x:c r="F7" s="9" t="str">
        <x:v>2026-10-05</x:v>
      </x:c>
    </x:row>
    <x:row r="8">
      <x:c r="A8" s="9" t="str">
        <x:v>S07</x:v>
      </x:c>
      <x:c r="B8" s="9" t="str">
        <x:v>CVF / CVPR 2022</x:v>
      </x:c>
      <x:c r="C8" s="9" t="str">
        <x:v>Towards Total Recall in Industrial Anomaly Detection (PatchCore)</x:v>
      </x:c>
      <x:c r="D8" s="9" t="str">
        <x:v>Research benchmark / method</x:v>
      </x:c>
      <x:c r="E8" s="9" t="str">
        <x:v>https://openaccess.thecvf.com/content/CVPR2022/html/Roth_Towards_Total_Recall_in_Industrial_Anomaly_Detection_CVPR_2022_paper.html</x:v>
      </x:c>
      <x:c r="F8" s="9" t="str">
        <x:v>2026-10-05</x:v>
      </x:c>
    </x:row>
    <x:row r="9">
      <x:c r="A9" s="9" t="str">
        <x:v>S08</x:v>
      </x:c>
      <x:c r="B9" s="9" t="str">
        <x:v>CVF / WACV 2025</x:v>
      </x:c>
      <x:c r="C9" s="9" t="str">
        <x:v>AnomalyDINO: Boosting Patch-Based Few-Shot Anomaly Detection with DINOv2</x:v>
      </x:c>
      <x:c r="D9" s="9" t="str">
        <x:v>Research benchmark</x:v>
      </x:c>
      <x:c r="E9" s="9" t="str">
        <x:v>https://openaccess.thecvf.com/content/WACV2025/html/Damm_AnomalyDINO_Boosting_Patch-Based_Few-Shot_Anomaly_Detection_with_DINOv2_WACV_2025_paper.html</x:v>
      </x:c>
      <x:c r="F9" s="9" t="str">
        <x:v>2026-10-05</x:v>
      </x:c>
    </x:row>
    <x:row r="10">
      <x:c r="A10" s="9" t="str">
        <x:v>S09</x:v>
      </x:c>
      <x:c r="B10" s="9" t="str">
        <x:v>3Eyes project document</x:v>
      </x:c>
      <x:c r="C10" s="9" t="str">
        <x:v>Internal E0-E16 experiment results and project benchmarks</x:v>
      </x:c>
      <x:c r="D10" s="9" t="str">
        <x:v>Project-generated experimental data</x:v>
      </x:c>
      <x:c r="E10" s="9" t="str">
        <x:v>3Eyes_Pitching_Deck_External_Benchmarks_Guide_12Slides(1).docx</x:v>
      </x:c>
      <x:c r="F10" s="9" t="str">
        <x:v>2026-10-05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3" t="str">
        <x:v>Date</x:v>
      </x:c>
      <x:c r="B1" s="13" t="str">
        <x:v>USD/THB Reference Rate</x:v>
      </x:c>
      <x:c r="C1" s="13" t="str">
        <x:v>Source_ID</x:v>
      </x:c>
    </x:row>
    <x:row r="2">
      <x:c r="A2" s="18" t="str">
        <x:v>2026-10-01</x:v>
      </x:c>
      <x:c r="B2" s="16" t="n">
        <x:v>33.643</x:v>
      </x:c>
      <x:c r="C2" s="18" t="str">
        <x:v>S02</x:v>
      </x:c>
    </x:row>
    <x:row r="3">
      <x:c r="A3" s="18" t="str">
        <x:v>2026-10-02</x:v>
      </x:c>
      <x:c r="B3" s="16" t="n">
        <x:v>33.596</x:v>
      </x:c>
      <x:c r="C3" s="18" t="str">
        <x:v>S02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12" hidden="0" customWidth="1"/>
  </x:cols>
  <x:sheetData>
    <x:row r="1">
      <x:c r="A1" s="19" t="str">
        <x:v>Metric</x:v>
      </x:c>
      <x:c r="B1" s="19" t="str">
        <x:v>Year</x:v>
      </x:c>
      <x:c r="C1" s="19" t="str">
        <x:v>Value_USD_million</x:v>
      </x:c>
      <x:c r="D1" s="19" t="str">
        <x:v>Unit</x:v>
      </x:c>
      <x:c r="E1" s="19" t="str">
        <x:v>Value_THB_billion</x:v>
      </x:c>
      <x:c r="F1" s="19" t="str">
        <x:v>Calculation / Note</x:v>
      </x:c>
      <x:c r="G1" s="19" t="str">
        <x:v>Source_ID</x:v>
      </x:c>
    </x:row>
    <x:row r="2">
      <x:c r="A2" s="9" t="str">
        <x:v>Market revenue</x:v>
      </x:c>
      <x:c r="B2" s="9" t="n">
        <x:v>2025</x:v>
      </x:c>
      <x:c r="C2" s="21" t="n">
        <x:v>1670</x:v>
      </x:c>
      <x:c r="D2" s="21" t="str">
        <x:v>USD million</x:v>
      </x:c>
      <x:c r="E2" s="21" t="n">
        <x:f>C2*FX!$B$2/1000</x:f>
        <x:v>56.18381</x:v>
      </x:c>
      <x:c r="F2" s="9" t="str">
        <x:v>Reported by Grand View Research; THB uses 1-Oct-2026 reference rate</x:v>
      </x:c>
      <x:c r="G2" s="9" t="str">
        <x:v>S01</x:v>
      </x:c>
    </x:row>
    <x:row r="3">
      <x:c r="A3" s="9" t="str">
        <x:v>Market revenue estimate</x:v>
      </x:c>
      <x:c r="B3" s="9" t="n">
        <x:v>2026</x:v>
      </x:c>
      <x:c r="C3" s="21" t="n">
        <x:v>1764.7</x:v>
      </x:c>
      <x:c r="D3" s="21" t="str">
        <x:v>USD million</x:v>
      </x:c>
      <x:c r="E3" s="21" t="n">
        <x:f>C3*FX!$B$2/1000</x:f>
        <x:v>59.3698021</x:v>
      </x:c>
      <x:c r="F3" s="9" t="str">
        <x:v>Reported estimate</x:v>
      </x:c>
      <x:c r="G3" s="9" t="str">
        <x:v>S01</x:v>
      </x:c>
    </x:row>
    <x:row r="4">
      <x:c r="A4" s="9" t="str">
        <x:v>Market revenue forecast</x:v>
      </x:c>
      <x:c r="B4" s="9" t="n">
        <x:v>2033</x:v>
      </x:c>
      <x:c r="C4" s="21" t="n">
        <x:v>2702.9</x:v>
      </x:c>
      <x:c r="D4" s="21" t="str">
        <x:v>USD million</x:v>
      </x:c>
      <x:c r="E4" s="21" t="n">
        <x:f>C4*FX!$B$2/1000</x:f>
        <x:v>90.93366470000001</x:v>
      </x:c>
      <x:c r="F4" s="9" t="str">
        <x:v>Reported forecast</x:v>
      </x:c>
      <x:c r="G4" s="9" t="str">
        <x:v>S01</x:v>
      </x:c>
    </x:row>
    <x:row r="5">
      <x:c r="A5" s="9" t="str">
        <x:v>CAGR</x:v>
      </x:c>
      <x:c r="B5" s="9" t="str">
        <x:v>2026-2033</x:v>
      </x:c>
      <x:c r="C5" s="23" t="n">
        <x:v>6.3</x:v>
      </x:c>
      <x:c r="D5" s="9" t="str">
        <x:v>%</x:v>
      </x:c>
      <x:c r="E5" s="9"/>
      <x:c r="F5" s="9" t="str">
        <x:v>Reported CAGR</x:v>
      </x:c>
      <x:c r="G5" s="9" t="str">
        <x:v>S01</x:v>
      </x:c>
    </x:row>
    <x:row r="6">
      <x:c r="A6" s="9" t="str">
        <x:v>Metal segment share</x:v>
      </x:c>
      <x:c r="B6" s="9" t="n">
        <x:v>2025</x:v>
      </x:c>
      <x:c r="C6" s="23" t="n">
        <x:v>98.53</x:v>
      </x:c>
      <x:c r="D6" s="9" t="str">
        <x:v>%</x:v>
      </x:c>
      <x:c r="E6" s="9" t="str"/>
      <x:c r="F6" s="9" t="str">
        <x:v>Reported largest raw-material segment share</x:v>
      </x:c>
      <x:c r="G6" s="9" t="str">
        <x:v>S01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48" hidden="0" customWidth="1"/>
    <x:col min="9" max="9" width="12" hidden="0" customWidth="1"/>
  </x:cols>
  <x:sheetData>
    <x:row r="1">
      <x:c r="A1" s="19" t="str">
        <x:v>Item</x:v>
      </x:c>
      <x:c r="B1" s="19" t="str">
        <x:v>Price_Low_USD</x:v>
      </x:c>
      <x:c r="C1" s="19" t="str">
        <x:v>Price_High_USD</x:v>
      </x:c>
      <x:c r="D1" s="19" t="str">
        <x:v>Currency</x:v>
      </x:c>
      <x:c r="E1" s="19" t="str">
        <x:v>Price_Low_THB</x:v>
      </x:c>
      <x:c r="F1" s="19" t="str">
        <x:v>Price_High_THB</x:v>
      </x:c>
      <x:c r="G1" s="19" t="str">
        <x:v>Price_Basis</x:v>
      </x:c>
      <x:c r="H1" s="19" t="str">
        <x:v>Comparability Note</x:v>
      </x:c>
      <x:c r="I1" s="19" t="str">
        <x:v>Source_ID</x:v>
      </x:c>
    </x:row>
    <x:row r="2">
      <x:c r="A2" s="9" t="str">
        <x:v>Fastener optical sorting machine</x:v>
      </x:c>
      <x:c r="B2" s="21" t="n">
        <x:v>18000</x:v>
      </x:c>
      <x:c r="C2" s="21" t="n">
        <x:v>40000</x:v>
      </x:c>
      <x:c r="D2" s="21" t="str">
        <x:v>USD</x:v>
      </x:c>
      <x:c r="E2" s="21" t="n">
        <x:f>B2*FX!$B$2</x:f>
        <x:v>605574</x:v>
      </x:c>
      <x:c r="F2" s="21" t="n">
        <x:f>C2*FX!$B$2</x:f>
        <x:v>1345720</x:v>
      </x:c>
      <x:c r="G2" s="9" t="str">
        <x:v>Current listing</x:v>
      </x:c>
      <x:c r="H2" s="9" t="str">
        <x:v>Machine listing for fastener / bolt / nut optical sorting</x:v>
      </x:c>
      <x:c r="I2" s="9" t="str">
        <x:v>S04</x:v>
      </x:c>
    </x:row>
    <x:row r="3">
      <x:c r="A3" s="9" t="str">
        <x:v>Overview OV10i AI vision sensor</x:v>
      </x:c>
      <x:c r="B3" s="21" t="n">
        <x:v>4450</x:v>
      </x:c>
      <x:c r="C3" s="21" t="n">
        <x:v>4450</x:v>
      </x:c>
      <x:c r="D3" s="21" t="str">
        <x:v>USD</x:v>
      </x:c>
      <x:c r="E3" s="21" t="n">
        <x:f>B3*FX!$B$2</x:f>
        <x:v>149711.35</x:v>
      </x:c>
      <x:c r="F3" s="21" t="n">
        <x:f>C3*FX!$B$2</x:f>
        <x:v>149711.35</x:v>
      </x:c>
      <x:c r="G3" s="9" t="str">
        <x:v>Current official shop price</x:v>
      </x:c>
      <x:c r="H3" s="9" t="str">
        <x:v>All-in-one smart camera; official current listed unit price</x:v>
      </x:c>
      <x:c r="I3" s="9" t="str">
        <x:v>S03</x:v>
      </x:c>
    </x:row>
    <x:row r="4">
      <x:c r="A4" s="9" t="str">
        <x:v>RealWear Navigator 500 validation kit</x:v>
      </x:c>
      <x:c r="B4" s="21" t="n">
        <x:v>2731</x:v>
      </x:c>
      <x:c r="C4" s="21" t="n">
        <x:v>2731</x:v>
      </x:c>
      <x:c r="D4" s="21" t="str">
        <x:v>USD</x:v>
      </x:c>
      <x:c r="E4" s="21" t="n">
        <x:f>B4*FX!$B$2</x:f>
        <x:v>91879.033</x:v>
      </x:c>
      <x:c r="F4" s="21" t="n">
        <x:f>C4*FX!$B$2</x:f>
        <x:v>91879.033</x:v>
      </x:c>
      <x:c r="G4" s="9" t="str">
        <x:v>Current official shop price</x:v>
      </x:c>
      <x:c r="H4" s="9" t="str">
        <x:v>Bundle price; not a pure device-only price</x:v>
      </x:c>
      <x:c r="I4" s="9" t="str">
        <x:v>S05</x:v>
      </x:c>
    </x:row>
    <x:row r="5">
      <x:c r="A5" s="9" t="str">
        <x:v>QC Inspector job sample — APR Packaging</x:v>
      </x:c>
      <x:c r="B5" s="21" t="n">
        <x:v>12000</x:v>
      </x:c>
      <x:c r="C5" s="21" t="n">
        <x:v>14000</x:v>
      </x:c>
      <x:c r="D5" s="21" t="str">
        <x:v>THB/month</x:v>
      </x:c>
      <x:c r="E5" s="21" t="n">
        <x:v>12000</x:v>
      </x:c>
      <x:c r="F5" s="21" t="n">
        <x:v>14000</x:v>
      </x:c>
      <x:c r="G5" s="9" t="str">
        <x:v>Current job posting</x:v>
      </x:c>
      <x:c r="H5" s="9" t="str">
        <x:v>One current QC posting; salary sample, not national average</x:v>
      </x:c>
      <x:c r="I5" s="9" t="str">
        <x:v>S06</x:v>
      </x:c>
    </x:row>
    <x:row r="6">
      <x:c r="A6" s="9" t="str">
        <x:v>QC/QA Engineer job sample — NMB-Minebea Thai</x:v>
      </x:c>
      <x:c r="B6" s="21" t="n">
        <x:v>24000</x:v>
      </x:c>
      <x:c r="C6" s="21" t="n">
        <x:v>28000</x:v>
      </x:c>
      <x:c r="D6" s="21" t="str">
        <x:v>THB/month</x:v>
      </x:c>
      <x:c r="E6" s="21" t="n">
        <x:v>24000</x:v>
      </x:c>
      <x:c r="F6" s="21" t="n">
        <x:v>28000</x:v>
      </x:c>
      <x:c r="G6" s="9" t="str">
        <x:v>Current job posting</x:v>
      </x:c>
      <x:c r="H6" s="9" t="str">
        <x:v>One current QC/QA posting; salary sample</x:v>
      </x:c>
      <x:c r="I6" s="9" t="str">
        <x:v>S06</x:v>
      </x:c>
    </x:row>
    <x:row r="7">
      <x:c r="A7" s="9" t="str">
        <x:v>QC Inspector job sample — Bata Thailand</x:v>
      </x:c>
      <x:c r="B7" s="21" t="n">
        <x:v>27000</x:v>
      </x:c>
      <x:c r="C7" s="21" t="n">
        <x:v>35000</x:v>
      </x:c>
      <x:c r="D7" s="21" t="str">
        <x:v>THB/month</x:v>
      </x:c>
      <x:c r="E7" s="21" t="n">
        <x:v>27000</x:v>
      </x:c>
      <x:c r="F7" s="21" t="n">
        <x:v>35000</x:v>
      </x:c>
      <x:c r="G7" s="9" t="str">
        <x:v>Current job posting</x:v>
      </x:c>
      <x:c r="H7" s="9" t="str">
        <x:v>One current QC posting; salary sample</x:v>
      </x:c>
      <x:c r="I7" s="9" t="str">
        <x:v>S06</x:v>
      </x:c>
    </x:row>
    <x:row r="8">
      <x:c r="A8" s="9" t="str">
        <x:v>3Eyes hardware target</x:v>
      </x:c>
      <x:c r="B8" s="21"/>
      <x:c r="C8" s="21"/>
      <x:c r="D8" s="21" t="str">
        <x:v>THB</x:v>
      </x:c>
      <x:c r="E8" s="21" t="n">
        <x:v>100000</x:v>
      </x:c>
      <x:c r="F8" s="21" t="n">
        <x:v>150000</x:v>
      </x:c>
      <x:c r="G8" s="9" t="str">
        <x:v>Project target</x:v>
      </x:c>
      <x:c r="H8" s="9" t="str">
        <x:v>Target pricing stated in project; not an observed external price</x:v>
      </x:c>
      <x:c r="I8" s="9" t="str">
        <x:v>S09</x:v>
      </x:c>
    </x:row>
    <x:row r="9">
      <x:c r="A9" s="9" t="str">
        <x:v>3Eyes monthly subscription target</x:v>
      </x:c>
      <x:c r="B9" s="21"/>
      <x:c r="C9" s="21"/>
      <x:c r="D9" s="21" t="str">
        <x:v>THB/month</x:v>
      </x:c>
      <x:c r="E9" s="21" t="n">
        <x:v>0</x:v>
      </x:c>
      <x:c r="F9" s="21" t="n">
        <x:v>13000</x:v>
      </x:c>
      <x:c r="G9" s="9" t="str">
        <x:v>Project target</x:v>
      </x:c>
      <x:c r="H9" s="9" t="str">
        <x:v>Target pricing stated in project; not an observed external market price</x:v>
      </x:c>
      <x:c r="I9" s="9" t="str">
        <x:v>S09</x:v>
      </x:c>
    </x:row>
    <x:row r="10">
      <x:c r="A10" s="9"/>
      <x:c r="B10" s="21"/>
      <x:c r="C10" s="21"/>
      <x:c r="D10" s="21"/>
      <x:c r="E10" s="21"/>
      <x:c r="F10" s="21"/>
      <x:c r="G10" s="9"/>
      <x:c r="H10" s="9"/>
      <x:c r="I10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2" hidden="0" customWidth="1"/>
    <x:col min="8" max="8" width="35" hidden="0" customWidth="1"/>
    <x:col min="9" max="9" width="12" hidden="0" customWidth="1"/>
  </x:cols>
  <x:sheetData>
    <x:row r="1">
      <x:c r="A1" s="19" t="str">
        <x:v>Experiment</x:v>
      </x:c>
      <x:c r="B1" s="19" t="str">
        <x:v>Date / Stage</x:v>
      </x:c>
      <x:c r="C1" s="19" t="str">
        <x:v>Test</x:v>
      </x:c>
      <x:c r="D1" s="19" t="str">
        <x:v>Model / Condition</x:v>
      </x:c>
      <x:c r="E1" s="19" t="str">
        <x:v>Metric</x:v>
      </x:c>
      <x:c r="F1" s="19" t="str">
        <x:v>Score</x:v>
      </x:c>
      <x:c r="G1" s="19" t="str">
        <x:v>Samples</x:v>
      </x:c>
      <x:c r="H1" s="19" t="str">
        <x:v>95% CI / Detail</x:v>
      </x:c>
      <x:c r="I1" s="19" t="str">
        <x:v>Source_ID</x:v>
      </x:c>
    </x:row>
    <x:row r="2">
      <x:c r="A2" s="9" t="str">
        <x:v>E2</x:v>
      </x:c>
      <x:c r="B2" s="9" t="str">
        <x:v>Aug-Sep 2026</x:v>
      </x:c>
      <x:c r="C2" s="9" t="str">
        <x:v>Model comparison</x:v>
      </x:c>
      <x:c r="D2" s="9" t="str">
        <x:v>PatchCore</x:v>
      </x:c>
      <x:c r="E2" s="9" t="str">
        <x:v>Image AUROC</x:v>
      </x:c>
      <x:c r="F2" s="25" t="n">
        <x:v>0.8</x:v>
      </x:c>
      <x:c r="G2" s="9" t="str"/>
      <x:c r="H2" s="9" t="str">
        <x:v>[0.690, 0.884]</x:v>
      </x:c>
      <x:c r="I2" s="9" t="str">
        <x:v>S09</x:v>
      </x:c>
    </x:row>
    <x:row r="3">
      <x:c r="A3" s="9" t="str">
        <x:v>E2</x:v>
      </x:c>
      <x:c r="B3" s="9" t="str">
        <x:v>Aug-Sep 2026</x:v>
      </x:c>
      <x:c r="C3" s="9" t="str">
        <x:v>Model comparison</x:v>
      </x:c>
      <x:c r="D3" s="9" t="str">
        <x:v>Supervised Linear Classifier</x:v>
      </x:c>
      <x:c r="E3" s="9" t="str">
        <x:v>Image AUROC</x:v>
      </x:c>
      <x:c r="F3" s="25" t="n">
        <x:v>0.749</x:v>
      </x:c>
      <x:c r="G3" s="9" t="str"/>
      <x:c r="H3" s="9" t="str">
        <x:v>[0.638, 0.844]</x:v>
      </x:c>
      <x:c r="I3" s="9" t="str">
        <x:v>S09</x:v>
      </x:c>
    </x:row>
    <x:row r="4">
      <x:c r="A4" s="9" t="str">
        <x:v>E2</x:v>
      </x:c>
      <x:c r="B4" s="9" t="str">
        <x:v>Aug-Sep 2026</x:v>
      </x:c>
      <x:c r="C4" s="9" t="str">
        <x:v>Model comparison</x:v>
      </x:c>
      <x:c r="D4" s="9" t="str">
        <x:v>Classical CV</x:v>
      </x:c>
      <x:c r="E4" s="9" t="str">
        <x:v>Image AUROC</x:v>
      </x:c>
      <x:c r="F4" s="25" t="n">
        <x:v>0.612</x:v>
      </x:c>
      <x:c r="G4" s="9" t="str"/>
      <x:c r="H4" s="9" t="str"/>
      <x:c r="I4" s="9" t="str">
        <x:v>S09</x:v>
      </x:c>
    </x:row>
    <x:row r="5">
      <x:c r="A5" s="9" t="str">
        <x:v>E3</x:v>
      </x:c>
      <x:c r="B5" s="9" t="str">
        <x:v>Aug-Sep 2026</x:v>
      </x:c>
      <x:c r="C5" s="9" t="str">
        <x:v>Learning curve</x:v>
      </x:c>
      <x:c r="D5" s="9" t="str">
        <x:v>5 good parts</x:v>
      </x:c>
      <x:c r="E5" s="9" t="str">
        <x:v>Image AUROC</x:v>
      </x:c>
      <x:c r="F5" s="25" t="n">
        <x:v>0.718</x:v>
      </x:c>
      <x:c r="G5" s="9" t="n">
        <x:v>5</x:v>
      </x:c>
      <x:c r="H5" s="9" t="str"/>
      <x:c r="I5" s="9" t="str">
        <x:v>S09</x:v>
      </x:c>
    </x:row>
    <x:row r="6">
      <x:c r="A6" s="9" t="str">
        <x:v>E3</x:v>
      </x:c>
      <x:c r="B6" s="9" t="str">
        <x:v>Aug-Sep 2026</x:v>
      </x:c>
      <x:c r="C6" s="9" t="str">
        <x:v>Learning curve</x:v>
      </x:c>
      <x:c r="D6" s="9" t="str">
        <x:v>10 good parts</x:v>
      </x:c>
      <x:c r="E6" s="9" t="str">
        <x:v>Image AUROC</x:v>
      </x:c>
      <x:c r="F6" s="25" t="n">
        <x:v>0.762</x:v>
      </x:c>
      <x:c r="G6" s="9" t="n">
        <x:v>10</x:v>
      </x:c>
      <x:c r="H6" s="9" t="str"/>
      <x:c r="I6" s="9" t="str">
        <x:v>S09</x:v>
      </x:c>
    </x:row>
    <x:row r="7">
      <x:c r="A7" s="9" t="str">
        <x:v>E3</x:v>
      </x:c>
      <x:c r="B7" s="9" t="str">
        <x:v>Aug-Sep 2026</x:v>
      </x:c>
      <x:c r="C7" s="9" t="str">
        <x:v>Learning curve</x:v>
      </x:c>
      <x:c r="D7" s="9" t="str">
        <x:v>15 good parts</x:v>
      </x:c>
      <x:c r="E7" s="9" t="str">
        <x:v>Image AUROC</x:v>
      </x:c>
      <x:c r="F7" s="25" t="n">
        <x:v>0.785</x:v>
      </x:c>
      <x:c r="G7" s="9" t="n">
        <x:v>15</x:v>
      </x:c>
      <x:c r="H7" s="9" t="str"/>
      <x:c r="I7" s="9" t="str">
        <x:v>S09</x:v>
      </x:c>
    </x:row>
    <x:row r="8">
      <x:c r="A8" s="9" t="str">
        <x:v>E3</x:v>
      </x:c>
      <x:c r="B8" s="9" t="str">
        <x:v>Aug-Sep 2026</x:v>
      </x:c>
      <x:c r="C8" s="9" t="str">
        <x:v>Learning curve</x:v>
      </x:c>
      <x:c r="D8" s="9" t="str">
        <x:v>20 good parts</x:v>
      </x:c>
      <x:c r="E8" s="9" t="str">
        <x:v>Image AUROC</x:v>
      </x:c>
      <x:c r="F8" s="25" t="n">
        <x:v>0.8</x:v>
      </x:c>
      <x:c r="G8" s="9" t="n">
        <x:v>20</x:v>
      </x:c>
      <x:c r="H8" s="9" t="str"/>
      <x:c r="I8" s="9" t="str">
        <x:v>S09</x:v>
      </x:c>
    </x:row>
    <x:row r="9">
      <x:c r="A9" s="9" t="str">
        <x:v>E9</x:v>
      </x:c>
      <x:c r="B9" s="9" t="str">
        <x:v>Aug-Sep 2026</x:v>
      </x:c>
      <x:c r="C9" s="9" t="str">
        <x:v>Intra-rater</x:v>
      </x:c>
      <x:c r="D9" s="9" t="str">
        <x:v>Same inspector / same 232 images</x:v>
      </x:c>
      <x:c r="E9" s="9" t="str">
        <x:v>Agreement</x:v>
      </x:c>
      <x:c r="F9" s="25" t="n">
        <x:v>0.78</x:v>
      </x:c>
      <x:c r="G9" s="9" t="n">
        <x:v>232</x:v>
      </x:c>
      <x:c r="H9" s="9" t="str">
        <x:v>Cohen's Kappa = 0.552; 95% CI [0.431, 0.673]</x:v>
      </x:c>
      <x:c r="I9" s="9" t="str">
        <x:v>S09</x:v>
      </x:c>
    </x:row>
    <x:row r="10">
      <x:c r="A10" s="9" t="str">
        <x:v>E11</x:v>
      </x:c>
      <x:c r="B10" s="9" t="str">
        <x:v>Aug-Sep 2026</x:v>
      </x:c>
      <x:c r="C10" s="9" t="str">
        <x:v>Cross-background</x:v>
      </x:c>
      <x:c r="D10" s="9" t="str">
        <x:v>White → Black background</x:v>
      </x:c>
      <x:c r="E10" s="9" t="str">
        <x:v>AUROC</x:v>
      </x:c>
      <x:c r="F10" s="25" t="n">
        <x:v>0.577</x:v>
      </x:c>
      <x:c r="G10" s="9" t="str"/>
      <x:c r="H10" s="9" t="str">
        <x:v>95% CI [0.432, 0.702]</x:v>
      </x:c>
      <x:c r="I10" s="9" t="str">
        <x:v>S09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2" hidden="0" customWidth="1"/>
    <x:col min="4" max="4" width="58" hidden="0" customWidth="1"/>
  </x:cols>
  <x:sheetData>
    <x:row r="1">
      <x:c r="A1" s="27" t="str">
        <x:v>Field</x:v>
      </x:c>
      <x:c r="B1" s="27" t="str">
        <x:v>Value</x:v>
      </x:c>
      <x:c r="C1" s="27" t="str">
        <x:v>Source_ID</x:v>
      </x:c>
      <x:c r="D1" s="27" t="str">
        <x:v>Note</x:v>
      </x:c>
    </x:row>
    <x:row r="2">
      <x:c r="A2" s="9" t="str">
        <x:v>Initial capture</x:v>
      </x:c>
      <x:c r="B2" s="9" t="str">
        <x:v>29 bolts × 8 angles = 232 images</x:v>
      </x:c>
      <x:c r="C2" s="9" t="str">
        <x:v>S09</x:v>
      </x:c>
      <x:c r="D2" s="9" t="str">
        <x:v>Original image set used before leakage was identified</x:v>
      </x:c>
    </x:row>
    <x:row r="3">
      <x:c r="A3" s="9" t="str">
        <x:v>Pivot date</x:v>
      </x:c>
      <x:c r="B3" s="9" t="str">
        <x:v>2026-09-17</x:v>
      </x:c>
      <x:c r="C3" s="9" t="str">
        <x:v>S09</x:v>
      </x:c>
      <x:c r="D3" s="9" t="str">
        <x:v>Original 232-image set discarded after data leakage audit</x:v>
      </x:c>
    </x:row>
    <x:row r="4">
      <x:c r="A4" s="9" t="str">
        <x:v>Replacement dataset</x:v>
      </x:c>
      <x:c r="B4" s="9" t="str">
        <x:v>34 bolts total</x:v>
      </x:c>
      <x:c r="C4" s="9" t="str">
        <x:v>S09</x:v>
      </x:c>
      <x:c r="D4" s="9" t="str">
        <x:v>6 good, 28 defective</x:v>
      </x:c>
    </x:row>
    <x:row r="5">
      <x:c r="A5" s="9" t="str">
        <x:v>Good bolts</x:v>
      </x:c>
      <x:c r="B5" s="9" t="n">
        <x:v>6</x:v>
      </x:c>
      <x:c r="C5" s="9" t="str">
        <x:v>S09</x:v>
      </x:c>
      <x:c r="D5" s="9" t="str">
        <x:v>Current replacement set described in project document</x:v>
      </x:c>
    </x:row>
    <x:row r="6">
      <x:c r="A6" s="9" t="str">
        <x:v>Defective bolts</x:v>
      </x:c>
      <x:c r="B6" s="9" t="n">
        <x:v>28</x:v>
      </x:c>
      <x:c r="C6" s="9" t="str">
        <x:v>S09</x:v>
      </x:c>
      <x:c r="D6" s="9" t="str">
        <x:v>Current replacement set described in project document</x:v>
      </x:c>
    </x:row>
    <x:row r="7">
      <x:c r="A7" s="9" t="str">
        <x:v>Defect examples</x:v>
      </x:c>
      <x:c r="B7" s="9" t="str">
        <x:v>Impact marks, scratches, deformed threads, zinc-plated reflective surface</x:v>
      </x:c>
      <x:c r="C7" s="9" t="str">
        <x:v>S09</x:v>
      </x:c>
      <x:c r="D7" s="9" t="str">
        <x:v>Project characterization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35" t="str">
        <x:v>3Eyes — Real Data Workbook</x:v>
      </x:c>
      <x:c r="B1" s="35"/>
    </x:row>
    <x:row r="2">
      <x:c r="A2" s="36" t="str">
        <x:v>Purpose</x:v>
      </x:c>
      <x:c r="B2" s="9" t="str">
        <x:v>This workbook separates actual project experiment data from external market/pricing data used in the dashboard.</x:v>
      </x:c>
    </x:row>
    <x:row r="3">
      <x:c r="A3" s="36" t="str">
        <x:v>Important</x:v>
      </x:c>
      <x:c r="B3" s="9" t="str">
        <x:v>Rows labelled 'Project target' are assumptions/targets from the 3Eyes project, not observed market prices.</x:v>
      </x:c>
    </x:row>
    <x:row r="4">
      <x:c r="A4" s="36" t="str">
        <x:v>External data</x:v>
      </x:c>
      <x:c r="B4" s="9" t="str">
        <x:v>Market figures and listed product/job prices are tied to a source URL and source ID.</x:v>
      </x:c>
    </x:row>
    <x:row r="5">
      <x:c r="A5" s="36" t="str">
        <x:v>Project data</x:v>
      </x:c>
      <x:c r="B5" s="9" t="str">
        <x:v>E2, E3, E9, E11 and dataset snapshot are taken from the uploaded 3Eyes project document.</x:v>
      </x:c>
    </x:row>
    <x:row r="6">
      <x:c r="A6" s="36" t="str">
        <x:v>FX</x:v>
      </x:c>
      <x:c r="B6" s="9" t="str">
        <x:v>USD-to-THB conversions use the Bank of Thailand reference rate on 2026-10-01 (33.643 THB/USD).</x:v>
      </x:c>
    </x:row>
    <x:row r="7">
      <x:c r="A7" s="36" t="str">
        <x:v>Prepared</x:v>
      </x:c>
      <x:c r="B7" s="9" t="str">
        <x:v>2026-10-05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12" hidden="0" customWidth="1"/>
  </x:cols>
  <x:sheetData>
    <x:row r="1">
      <x:c r="A1" s="3" t="str">
        <x:v>KPI</x:v>
      </x:c>
      <x:c r="B1" s="3" t="str">
        <x:v>Value</x:v>
      </x:c>
      <x:c r="C1" s="3" t="str">
        <x:v>Unit</x:v>
      </x:c>
      <x:c r="D1" s="3" t="str">
        <x:v>Source</x:v>
      </x:c>
    </x:row>
    <x:row r="2">
      <x:c r="A2" s="18" t="str">
        <x:v>Thailand fasteners market 2025</x:v>
      </x:c>
      <x:c r="B2" s="39" t="n">
        <x:f>Market_Data!E2</x:f>
        <x:v>56.18381</x:v>
      </x:c>
      <x:c r="C2" s="18" t="str">
        <x:v>THB billion</x:v>
      </x:c>
      <x:c r="D2" s="18" t="str">
        <x:v>S01</x:v>
      </x:c>
    </x:row>
    <x:row r="3">
      <x:c r="A3" s="18" t="str">
        <x:v>Thailand fasteners market 2033</x:v>
      </x:c>
      <x:c r="B3" s="39" t="n">
        <x:f>Market_Data!E4</x:f>
        <x:v>90.93366470000001</x:v>
      </x:c>
      <x:c r="C3" s="18" t="str">
        <x:v>THB billion</x:v>
      </x:c>
      <x:c r="D3" s="18" t="str">
        <x:v>S01</x:v>
      </x:c>
    </x:row>
    <x:row r="4">
      <x:c r="A4" s="18" t="str">
        <x:v>PatchCore E2</x:v>
      </x:c>
      <x:c r="B4" s="41" t="n">
        <x:v>0.8</x:v>
      </x:c>
      <x:c r="C4" s="18" t="str">
        <x:v>Image AUROC</x:v>
      </x:c>
      <x:c r="D4" s="18" t="str">
        <x:v>S09</x:v>
      </x:c>
    </x:row>
    <x:row r="5">
      <x:c r="A5" s="18" t="str">
        <x:v>3Eyes hardware target midpoint</x:v>
      </x:c>
      <x:c r="B5" s="43" t="n">
        <x:v>125000</x:v>
      </x:c>
      <x:c r="C5" s="18" t="str">
        <x:v>THB</x:v>
      </x:c>
      <x:c r="D5" s="18" t="str">
        <x:v>S09</x:v>
      </x:c>
    </x:row>
  </x:sheetData>
  <x:pageMargins left="0.7" right="0.7" top="0.75" bottom="0.75" header="0.3" footer="0.3"/>
</x:worksheet>
</file>